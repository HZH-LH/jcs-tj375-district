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finity\TI60\Project\Production\TI60F225_MP_MIPI_16VC_DEMO_2021Sep15\rtl\panel\"/>
    </mc:Choice>
  </mc:AlternateContent>
  <xr:revisionPtr revIDLastSave="0" documentId="13_ncr:1_{4CF94414-A900-4EEC-B875-620DB5D03C7B}" xr6:coauthVersionLast="47" xr6:coauthVersionMax="47" xr10:uidLastSave="{00000000-0000-0000-0000-000000000000}"/>
  <bookViews>
    <workbookView xWindow="6315" yWindow="2520" windowWidth="16950" windowHeight="11385" xr2:uid="{9A454EC0-6F59-4C48-87E5-7D16F1FD3911}"/>
  </bookViews>
  <sheets>
    <sheet name="PORCH 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M5" i="1" s="1"/>
  <c r="G3" i="1"/>
  <c r="H3" i="1" s="1"/>
  <c r="M4" i="1" s="1"/>
  <c r="G2" i="1"/>
  <c r="H2" i="1" s="1"/>
  <c r="M3" i="1" s="1"/>
  <c r="D11" i="1"/>
  <c r="H8" i="1"/>
  <c r="M8" i="1" s="1"/>
  <c r="H7" i="1"/>
  <c r="M7" i="1" s="1"/>
  <c r="H6" i="1"/>
  <c r="M6" i="1" s="1"/>
  <c r="H5" i="1"/>
  <c r="M9" i="1" s="1"/>
  <c r="G1" i="1"/>
  <c r="D1" i="1"/>
  <c r="D2" i="1" s="1"/>
  <c r="E2" i="1" l="1"/>
  <c r="F2" i="1" s="1"/>
  <c r="C14" i="1"/>
  <c r="C15" i="1" s="1"/>
  <c r="D15" i="1" s="1"/>
  <c r="C16" i="1" s="1"/>
  <c r="D16" i="1" s="1"/>
  <c r="M2" i="1" s="1"/>
</calcChain>
</file>

<file path=xl/sharedStrings.xml><?xml version="1.0" encoding="utf-8"?>
<sst xmlns="http://schemas.openxmlformats.org/spreadsheetml/2006/main" count="25" uniqueCount="25">
  <si>
    <t>0000000100</t>
  </si>
  <si>
    <t>400000</t>
  </si>
  <si>
    <t>440000</t>
  </si>
  <si>
    <t>480000</t>
  </si>
  <si>
    <t>4C0000</t>
  </si>
  <si>
    <t>500000</t>
  </si>
  <si>
    <t>540000</t>
  </si>
  <si>
    <t>580000</t>
  </si>
  <si>
    <t>5C0000</t>
  </si>
  <si>
    <t>MAX_HRES</t>
  </si>
  <si>
    <t>MAX_VRES</t>
  </si>
  <si>
    <t>HSP</t>
  </si>
  <si>
    <t>HBP</t>
  </si>
  <si>
    <t>HFP</t>
  </si>
  <si>
    <t>VSP</t>
  </si>
  <si>
    <t>VBP</t>
  </si>
  <si>
    <t>VFP</t>
  </si>
  <si>
    <t>Yixin_1080p_dsi.mem</t>
  </si>
  <si>
    <t>MIPI Speed</t>
  </si>
  <si>
    <t>H line period</t>
  </si>
  <si>
    <t>No. byte clock per H line</t>
  </si>
  <si>
    <t>Total H line WC</t>
  </si>
  <si>
    <t>No. data lane</t>
  </si>
  <si>
    <t>Panel PCLK</t>
  </si>
  <si>
    <t>180000000A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</si>
</sst>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E6B1-735D-4D6A-9F37-5073BBAB47F9}">
  <dimension ref="B1:M18"/>
  <sheetViews>
    <sheetView tabSelected="1" workbookViewId="0">
      <selection activeCell="C6" sqref="C6"/>
    </sheetView>
  </sheetViews>
  <sheetFormatPr defaultRowHeight="15" x14ac:dyDescent="0.25"/>
  <cols>
    <col min="2" max="2" width="18" customWidth="1"/>
    <col min="13" max="13" width="18.85546875" bestFit="1" customWidth="1"/>
  </cols>
  <sheetData>
    <row r="1" spans="2:13" x14ac:dyDescent="0.25">
      <c r="B1" t="s">
        <v>9</v>
      </c>
      <c r="C1" s="2">
        <v>1080</v>
      </c>
      <c r="D1">
        <f>C1+C3+C4+C5</f>
        <v>1380</v>
      </c>
      <c r="G1">
        <f>C1/2</f>
        <v>540</v>
      </c>
      <c r="L1" s="1"/>
      <c r="M1" s="5" t="s">
        <v>17</v>
      </c>
    </row>
    <row r="2" spans="2:13" x14ac:dyDescent="0.25">
      <c r="B2" t="s">
        <v>10</v>
      </c>
      <c r="C2" s="2">
        <v>1920</v>
      </c>
      <c r="D2">
        <f>D1*1000/C10</f>
        <v>11040</v>
      </c>
      <c r="E2">
        <f>D2*4/D11</f>
        <v>5520</v>
      </c>
      <c r="F2" t="str">
        <f>DEC2HEX(E2,4)</f>
        <v>1590</v>
      </c>
      <c r="G2">
        <f>C3*3</f>
        <v>300</v>
      </c>
      <c r="H2" t="str">
        <f>DEC2HEX(G2,4)</f>
        <v>012C</v>
      </c>
      <c r="L2" s="1" t="s">
        <v>1</v>
      </c>
      <c r="M2" s="3" t="str">
        <f>L2&amp;D16</f>
        <v>4000001590</v>
      </c>
    </row>
    <row r="3" spans="2:13" x14ac:dyDescent="0.25">
      <c r="B3" t="s">
        <v>11</v>
      </c>
      <c r="C3" s="2">
        <v>100</v>
      </c>
      <c r="G3">
        <f>(C4+C3)*3</f>
        <v>600</v>
      </c>
      <c r="H3" t="str">
        <f>DEC2HEX(G3,4)</f>
        <v>0258</v>
      </c>
      <c r="L3" s="1" t="s">
        <v>2</v>
      </c>
      <c r="M3" s="3" t="str">
        <f>L3&amp;H2</f>
        <v>440000012C</v>
      </c>
    </row>
    <row r="4" spans="2:13" x14ac:dyDescent="0.25">
      <c r="B4" t="s">
        <v>12</v>
      </c>
      <c r="C4" s="2">
        <v>100</v>
      </c>
      <c r="G4">
        <f>C5*3</f>
        <v>300</v>
      </c>
      <c r="H4" t="str">
        <f>DEC2HEX(G4,4)</f>
        <v>012C</v>
      </c>
      <c r="L4" s="1" t="s">
        <v>3</v>
      </c>
      <c r="M4" s="3" t="str">
        <f>L4&amp;H3</f>
        <v>4800000258</v>
      </c>
    </row>
    <row r="5" spans="2:13" x14ac:dyDescent="0.25">
      <c r="B5" t="s">
        <v>13</v>
      </c>
      <c r="C5" s="2">
        <v>100</v>
      </c>
      <c r="H5" t="str">
        <f>DEC2HEX(C2,4)</f>
        <v>0780</v>
      </c>
      <c r="L5" s="1" t="s">
        <v>4</v>
      </c>
      <c r="M5" s="3" t="str">
        <f>L5&amp;H4</f>
        <v>4C0000012C</v>
      </c>
    </row>
    <row r="6" spans="2:13" x14ac:dyDescent="0.25">
      <c r="B6" t="s">
        <v>14</v>
      </c>
      <c r="C6" s="2">
        <v>3</v>
      </c>
      <c r="H6" t="str">
        <f>DEC2HEX(C6,4)</f>
        <v>0003</v>
      </c>
      <c r="L6" s="1" t="s">
        <v>5</v>
      </c>
      <c r="M6" s="3" t="str">
        <f>L6&amp;H6</f>
        <v>5000000003</v>
      </c>
    </row>
    <row r="7" spans="2:13" x14ac:dyDescent="0.25">
      <c r="B7" t="s">
        <v>15</v>
      </c>
      <c r="C7" s="2">
        <v>5</v>
      </c>
      <c r="H7" t="str">
        <f>DEC2HEX(C7,4)</f>
        <v>0005</v>
      </c>
      <c r="L7" s="1" t="s">
        <v>6</v>
      </c>
      <c r="M7" s="3" t="str">
        <f>L7&amp;H7</f>
        <v>5400000005</v>
      </c>
    </row>
    <row r="8" spans="2:13" x14ac:dyDescent="0.25">
      <c r="B8" t="s">
        <v>16</v>
      </c>
      <c r="C8" s="2">
        <v>6</v>
      </c>
      <c r="H8" t="str">
        <f>DEC2HEX(C8,4)</f>
        <v>0006</v>
      </c>
      <c r="L8" s="1" t="s">
        <v>7</v>
      </c>
      <c r="M8" s="3" t="str">
        <f>L8&amp;H8</f>
        <v>5800000006</v>
      </c>
    </row>
    <row r="9" spans="2:13" x14ac:dyDescent="0.25">
      <c r="L9" s="1" t="s">
        <v>8</v>
      </c>
      <c r="M9" s="3" t="str">
        <f>L9&amp;H5</f>
        <v>5C00000780</v>
      </c>
    </row>
    <row r="10" spans="2:13" x14ac:dyDescent="0.25">
      <c r="B10" t="s">
        <v>23</v>
      </c>
      <c r="C10" s="2">
        <v>125</v>
      </c>
      <c r="L10" s="1"/>
      <c r="M10" s="4" t="s">
        <v>24</v>
      </c>
    </row>
    <row r="11" spans="2:13" x14ac:dyDescent="0.25">
      <c r="B11" t="s">
        <v>18</v>
      </c>
      <c r="C11" s="2">
        <v>1000</v>
      </c>
      <c r="D11">
        <f>8/C11*1000</f>
        <v>8</v>
      </c>
      <c r="L11" s="1"/>
      <c r="M11" s="4" t="s">
        <v>0</v>
      </c>
    </row>
    <row r="12" spans="2:13" x14ac:dyDescent="0.25">
      <c r="B12" t="s">
        <v>22</v>
      </c>
      <c r="C12" s="2">
        <v>4</v>
      </c>
      <c r="L12" s="1"/>
    </row>
    <row r="13" spans="2:13" x14ac:dyDescent="0.25">
      <c r="L13" s="1"/>
    </row>
    <row r="14" spans="2:13" x14ac:dyDescent="0.25">
      <c r="B14" t="s">
        <v>19</v>
      </c>
      <c r="C14">
        <f>D1*1000/C10</f>
        <v>11040</v>
      </c>
      <c r="L14" s="1"/>
    </row>
    <row r="15" spans="2:13" x14ac:dyDescent="0.25">
      <c r="B15" t="s">
        <v>20</v>
      </c>
      <c r="C15">
        <f>C14/D11</f>
        <v>1380</v>
      </c>
      <c r="D15">
        <f>ROUNDDOWN(C15,0)</f>
        <v>1380</v>
      </c>
      <c r="L15" s="1"/>
    </row>
    <row r="16" spans="2:13" x14ac:dyDescent="0.25">
      <c r="B16" t="s">
        <v>21</v>
      </c>
      <c r="C16">
        <f>D15*C12</f>
        <v>5520</v>
      </c>
      <c r="D16" s="6" t="str">
        <f>DEC2HEX(C16,4)</f>
        <v>1590</v>
      </c>
      <c r="L16" s="1"/>
    </row>
    <row r="17" spans="12:12" x14ac:dyDescent="0.25">
      <c r="L17" s="1"/>
    </row>
    <row r="18" spans="12:12" x14ac:dyDescent="0.25">
      <c r="L1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PORCH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Kircheis</dc:creator>
  <cp:lastModifiedBy>Kircheis</cp:lastModifiedBy>
  <dcterms:created xsi:type="dcterms:W3CDTF">2021-06-18T02:50:17Z</dcterms:created>
  <dcterms:modified xsi:type="dcterms:W3CDTF">2021-09-15T05:31:48Z</dcterms:modified>
</cp:coreProperties>
</file>